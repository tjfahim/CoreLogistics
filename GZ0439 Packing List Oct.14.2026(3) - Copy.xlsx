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2026\OCTOBER\CHINA\3RD (198-OUR-HABIL-SXOC-3)\"/>
    </mc:Choice>
  </mc:AlternateContent>
  <xr:revisionPtr revIDLastSave="0" documentId="13_ncr:1_{9234F0A6-6B2B-4AE8-9F22-5EB0C41D5C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arehouse" sheetId="5" r:id="rId1"/>
  </sheets>
  <definedNames>
    <definedName name="_xlnm._FilterDatabase" localSheetId="0" hidden="1">Warehouse!$A$1:$Q$2</definedName>
    <definedName name="WebWps_Link_1" hidden="1">Warehouse!#REF!</definedName>
    <definedName name="WebWps_Link_2" hidden="1">Warehouse!#REF!</definedName>
    <definedName name="WebWps_Link_3" hidden="1">Warehouse!#REF!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5" l="1"/>
  <c r="L1" i="5"/>
  <c r="I1" i="5"/>
  <c r="G1" i="5"/>
</calcChain>
</file>

<file path=xl/sharedStrings.xml><?xml version="1.0" encoding="utf-8"?>
<sst xmlns="http://schemas.openxmlformats.org/spreadsheetml/2006/main" count="253" uniqueCount="170">
  <si>
    <t>ToTal CTNs</t>
  </si>
  <si>
    <t>Total PACKs:</t>
  </si>
  <si>
    <t>Total Weight (kg):</t>
  </si>
  <si>
    <t>Total CBM:</t>
  </si>
  <si>
    <t>Shipment_Date</t>
  </si>
  <si>
    <t>Received_Date</t>
  </si>
  <si>
    <t>Printed_CTN_NO</t>
  </si>
  <si>
    <t>Written_CTN_NO</t>
  </si>
  <si>
    <t>Receipt_NO</t>
  </si>
  <si>
    <t>Tracking</t>
  </si>
  <si>
    <t>Goods_Name</t>
  </si>
  <si>
    <t>品名</t>
  </si>
  <si>
    <t>Pack_NO</t>
  </si>
  <si>
    <t>Unit_Pcs</t>
  </si>
  <si>
    <t>Weight_KG</t>
  </si>
  <si>
    <t>L_CM</t>
  </si>
  <si>
    <t>W_CM</t>
  </si>
  <si>
    <t>H_CM</t>
  </si>
  <si>
    <t>CBM</t>
  </si>
  <si>
    <t>Shipping_Mark</t>
  </si>
  <si>
    <t>Remark</t>
  </si>
  <si>
    <t>Copy</t>
  </si>
  <si>
    <t>台灯</t>
  </si>
  <si>
    <t>C 9-529</t>
  </si>
  <si>
    <t>C 9-530</t>
  </si>
  <si>
    <t>C 9-531</t>
  </si>
  <si>
    <t>C 9-532</t>
  </si>
  <si>
    <t>C 9-592</t>
  </si>
  <si>
    <t>C 9-593</t>
  </si>
  <si>
    <t>C 9-594</t>
  </si>
  <si>
    <t>C 9-595</t>
  </si>
  <si>
    <t>C 9-598</t>
  </si>
  <si>
    <t>C 10-44</t>
  </si>
  <si>
    <t>C 10-45</t>
  </si>
  <si>
    <t>C 10-46</t>
  </si>
  <si>
    <t>C 10-47</t>
  </si>
  <si>
    <t>C 10-48</t>
  </si>
  <si>
    <t>C 10-49</t>
  </si>
  <si>
    <t>C 10-50</t>
  </si>
  <si>
    <t>C 10-52</t>
  </si>
  <si>
    <t>C 10-53</t>
  </si>
  <si>
    <t>C 10-57</t>
  </si>
  <si>
    <t>C 10-58</t>
  </si>
  <si>
    <t>C 10-68</t>
  </si>
  <si>
    <t>C 10-69</t>
  </si>
  <si>
    <t>C 10-70</t>
  </si>
  <si>
    <t>C 10-71</t>
  </si>
  <si>
    <t>C 10-72</t>
  </si>
  <si>
    <t>C 10-73</t>
  </si>
  <si>
    <t>C 10-74</t>
  </si>
  <si>
    <t>C 10-75</t>
  </si>
  <si>
    <t>C 10-76</t>
  </si>
  <si>
    <t>C 10-77</t>
  </si>
  <si>
    <t>C 10-78</t>
  </si>
  <si>
    <t>C 10-79</t>
  </si>
  <si>
    <t>C 10-80</t>
  </si>
  <si>
    <t>C 10-81</t>
  </si>
  <si>
    <t>C 10-82</t>
  </si>
  <si>
    <t>C 10-83</t>
  </si>
  <si>
    <t>C 10-88</t>
  </si>
  <si>
    <t>C 10-90</t>
  </si>
  <si>
    <t>CM 10- 2</t>
  </si>
  <si>
    <t>Ceramic vase three-piece set</t>
  </si>
  <si>
    <t>陶瓷花瓶三件套</t>
  </si>
  <si>
    <t>desk lamp</t>
  </si>
  <si>
    <t>mobile phone back cover</t>
  </si>
  <si>
    <t>手机后盖</t>
  </si>
  <si>
    <t>gear pump</t>
  </si>
  <si>
    <t>齿轮泵</t>
  </si>
  <si>
    <t>plastic cap</t>
  </si>
  <si>
    <t>塑料帽盖</t>
  </si>
  <si>
    <t>Clothes, shoes, bags, building blocks, toys, beauty tools</t>
  </si>
  <si>
    <r>
      <rPr>
        <sz val="11"/>
        <color theme="1"/>
        <rFont val="宋体"/>
        <charset val="134"/>
      </rPr>
      <t>衣服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鞋子包包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积木玩具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美妆工具</t>
    </r>
  </si>
  <si>
    <t>Pillowcases and table runners</t>
  </si>
  <si>
    <r>
      <rPr>
        <sz val="11"/>
        <color theme="1"/>
        <rFont val="宋体"/>
        <charset val="134"/>
      </rPr>
      <t>抱枕套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桌旗</t>
    </r>
  </si>
  <si>
    <t>Throw pillowcase</t>
  </si>
  <si>
    <t>抱枕套</t>
  </si>
  <si>
    <t>Apple iPhone back cover (copy)</t>
  </si>
  <si>
    <t>苹果手机后盖（副本）</t>
  </si>
  <si>
    <t>Acrylic square box</t>
  </si>
  <si>
    <t>亚克力方盒</t>
  </si>
  <si>
    <t>Clothes hangers, trouser hangers, gold bag racks</t>
  </si>
  <si>
    <r>
      <rPr>
        <sz val="11"/>
        <color theme="1"/>
        <rFont val="宋体"/>
        <charset val="134"/>
      </rPr>
      <t>衣架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裤架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金色包架</t>
    </r>
  </si>
  <si>
    <t>Acrylic trouser hanger</t>
  </si>
  <si>
    <t>亚克力裤架</t>
  </si>
  <si>
    <t>Flat model, female model</t>
  </si>
  <si>
    <r>
      <rPr>
        <sz val="11"/>
        <color theme="1"/>
        <rFont val="宋体"/>
        <charset val="134"/>
      </rPr>
      <t>扁模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女模</t>
    </r>
  </si>
  <si>
    <t>Cloth-covered, handless female half-body</t>
  </si>
  <si>
    <t>包布无手女半身</t>
  </si>
  <si>
    <t>Acrylic brand gold women's handbag with curved hand and half-face design</t>
  </si>
  <si>
    <r>
      <rPr>
        <sz val="11"/>
        <color theme="1"/>
        <rFont val="宋体"/>
        <charset val="134"/>
      </rPr>
      <t>亚克力牌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金色女包布弯手半脸手</t>
    </r>
  </si>
  <si>
    <t>Gold double-sided hanging cloth women's half-body dress</t>
  </si>
  <si>
    <r>
      <rPr>
        <sz val="11"/>
        <color theme="1"/>
        <rFont val="宋体"/>
        <charset val="134"/>
      </rPr>
      <t>金色双面挂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包布女半身</t>
    </r>
  </si>
  <si>
    <t>child model</t>
  </si>
  <si>
    <t>童模</t>
  </si>
  <si>
    <t>Round golden bar</t>
  </si>
  <si>
    <t>圆球金色单杠</t>
  </si>
  <si>
    <t>Golden Square Column Single Bar</t>
  </si>
  <si>
    <t>金色方柱单杠</t>
  </si>
  <si>
    <t>Electricity meter seal</t>
  </si>
  <si>
    <t>电表封条</t>
  </si>
  <si>
    <t>door lock set</t>
  </si>
  <si>
    <t>门锁套装</t>
  </si>
  <si>
    <t>Cardboard box slitting knife</t>
  </si>
  <si>
    <t>纸箱分切刀</t>
  </si>
  <si>
    <t>license plate frame</t>
  </si>
  <si>
    <t>牌照框</t>
  </si>
  <si>
    <t>baby bottle</t>
  </si>
  <si>
    <t>奶瓶</t>
  </si>
  <si>
    <t>car tail light</t>
  </si>
  <si>
    <t>汽车尾灯</t>
  </si>
  <si>
    <t>children's clothing</t>
  </si>
  <si>
    <t>儿童服装</t>
  </si>
  <si>
    <t>Intelligent serial port industrial screen</t>
  </si>
  <si>
    <t>智能串口工业屏</t>
  </si>
  <si>
    <t>flow sensor</t>
  </si>
  <si>
    <t>流量传感器</t>
  </si>
  <si>
    <t>Current transformer</t>
  </si>
  <si>
    <t>电流互感器</t>
  </si>
  <si>
    <t>fan blade</t>
  </si>
  <si>
    <t>风扇叶</t>
  </si>
  <si>
    <t>NONE</t>
  </si>
  <si>
    <t>JHGVHGVHV-1</t>
  </si>
  <si>
    <t>JHGVHGVHV-2</t>
  </si>
  <si>
    <t>JHGVHGVHV-4</t>
  </si>
  <si>
    <t>JHGVHGVHV-3</t>
  </si>
  <si>
    <t>JHGVHGVHV-5</t>
  </si>
  <si>
    <t>JHGVHGVHV-6</t>
  </si>
  <si>
    <t>JHGVHGVHV-7</t>
  </si>
  <si>
    <t>JHGVHGVHV-8</t>
  </si>
  <si>
    <t>JHGVHGVHV-9</t>
  </si>
  <si>
    <t>JHGVHGVHV-10</t>
  </si>
  <si>
    <t>JHGVHGVHV-11</t>
  </si>
  <si>
    <t>JHGVHGVHV-12</t>
  </si>
  <si>
    <t>JHGVHGVHV-13</t>
  </si>
  <si>
    <t>JHGVHGVHV-14</t>
  </si>
  <si>
    <t>JHGVHGVHV-15</t>
  </si>
  <si>
    <t>JHGVHGVHV-16</t>
  </si>
  <si>
    <t>JHGVHGVHV-17</t>
  </si>
  <si>
    <t>JHGVHGVHV-18</t>
  </si>
  <si>
    <t>JHGVHGVHV-19</t>
  </si>
  <si>
    <t>JHGVHGVHV-20</t>
  </si>
  <si>
    <t>JHGVHGVHV-21</t>
  </si>
  <si>
    <t>JHGVHGVHV-22</t>
  </si>
  <si>
    <t>JHGVHGVHV-23</t>
  </si>
  <si>
    <t>JHGVHGVHV-24</t>
  </si>
  <si>
    <t>JHGVHGVHV-25</t>
  </si>
  <si>
    <t>JHGVHGVHV-26</t>
  </si>
  <si>
    <t>JHGVHGVHV-27</t>
  </si>
  <si>
    <t>JHGVHGVHV-28</t>
  </si>
  <si>
    <t>JHGVHGVHV-29</t>
  </si>
  <si>
    <t>JHGVHGVHV-30</t>
  </si>
  <si>
    <t>JHGVHGVHV-31</t>
  </si>
  <si>
    <t>JHGVHGVHV-32</t>
  </si>
  <si>
    <t>JHGVHGVHV-33</t>
  </si>
  <si>
    <t>JHGVHGVHV-34</t>
  </si>
  <si>
    <t>JHGVHGVHV-35</t>
  </si>
  <si>
    <t>JHGVHGVHV-36</t>
  </si>
  <si>
    <t>JHGVHGVHV-37</t>
  </si>
  <si>
    <t>JHGVHGVHV-38</t>
  </si>
  <si>
    <t>JHGVHGVHV-39</t>
  </si>
  <si>
    <t>JHGVHGVHV-40</t>
  </si>
  <si>
    <t>JHGVHGVHV-41</t>
  </si>
  <si>
    <t>JHGVHGVHV-42</t>
  </si>
  <si>
    <t>JHGVHGVHV-43</t>
  </si>
  <si>
    <t>JHGVHGVHV-44</t>
  </si>
  <si>
    <t>JHGVHGVHV-45</t>
  </si>
  <si>
    <t>JHGVHGVHV-46</t>
  </si>
  <si>
    <t>JHGVHGVHV-47</t>
  </si>
  <si>
    <t>JHGVHGVHV-48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</si>
</sst>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10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黑体"/>
      <charset val="134"/>
    </font>
    <font>
      <sz val="9"/>
      <color indexed="10"/>
      <name val="Geneva"/>
      <charset val="134"/>
    </font>
    <font>
      <sz val="12"/>
      <name val="宋体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sz val="11"/>
      <color theme="1"/>
      <name val="SimSun"/>
      <charset val="134"/>
    </font>
    <font>
      <sz val="11"/>
      <color theme="1"/>
      <name val="宋体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4" fillId="0" borderId="0"/>
    <xf numFmtId="0" fontId="5" fillId="0" borderId="0">
      <alignment horizontal="center" vertical="center"/>
    </xf>
    <xf numFmtId="0" fontId="4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4" fontId="6" fillId="0" borderId="6" xfId="0" applyNumberFormat="1" applyFont="1" applyBorder="1" applyAlignment="1">
      <alignment horizontal="left" vertical="center"/>
    </xf>
  </cellXfs>
  <cellStyles count="5">
    <cellStyle name="Cancel" xfId="1" xr:uid="{00000000-0005-0000-0000-000031000000}"/>
    <cellStyle name="Normal" xfId="0" builtinId="0"/>
    <cellStyle name="Normal 2" xfId="2" xr:uid="{00000000-0005-0000-0000-000032000000}"/>
    <cellStyle name="S3" xfId="3" xr:uid="{00000000-0005-0000-0000-000033000000}"/>
    <cellStyle name="常规 2 3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zoomScale="85" zoomScaleNormal="85" workbookViewId="0">
      <pane ySplit="2" topLeftCell="A3" activePane="bottomLeft" state="frozen"/>
      <selection pane="bottomLeft" activeCell="H26" sqref="H26"/>
    </sheetView>
  </sheetViews>
  <sheetFormatPr defaultColWidth="13.88671875" defaultRowHeight="13.8"/>
  <cols>
    <col min="1" max="1" width="6.6640625" style="3" customWidth="1"/>
    <col min="2" max="2" width="10" style="4" customWidth="1"/>
    <col min="3" max="3" width="13.109375" style="4" customWidth="1"/>
    <col min="4" max="4" width="11.21875" style="4" customWidth="1"/>
    <col min="5" max="5" width="21.33203125" style="4" customWidth="1"/>
    <col min="6" max="6" width="29.44140625" style="4" customWidth="1"/>
    <col min="7" max="7" width="14.44140625" style="4" customWidth="1"/>
    <col min="8" max="8" width="9.5546875" style="3" customWidth="1"/>
    <col min="9" max="9" width="9.77734375" style="4" customWidth="1"/>
    <col min="10" max="10" width="9.88671875" style="4" customWidth="1"/>
    <col min="11" max="11" width="10.33203125" style="4" customWidth="1"/>
    <col min="12" max="12" width="9.109375" style="4" customWidth="1"/>
    <col min="13" max="13" width="10.33203125" style="4" customWidth="1"/>
    <col min="14" max="14" width="14.44140625" style="5" customWidth="1"/>
    <col min="15" max="15" width="19.6640625" style="4" customWidth="1"/>
    <col min="16" max="16" width="12.6640625" style="6" customWidth="1"/>
    <col min="17" max="17" width="7.44140625" style="4" customWidth="1"/>
    <col min="18" max="16377" width="13.88671875" style="4" customWidth="1"/>
    <col min="16378" max="16384" width="13.88671875" style="4"/>
  </cols>
  <sheetData>
    <row r="1" spans="1:17" s="1" customFormat="1" ht="23.4" customHeight="1">
      <c r="A1" s="7"/>
      <c r="D1" s="1" t="s">
        <v>0</v>
      </c>
      <c r="F1" s="1" t="s">
        <v>1</v>
      </c>
      <c r="G1" s="1">
        <f>COUNTA(C3:C8982)</f>
        <v>0</v>
      </c>
      <c r="H1" s="7" t="s">
        <v>2</v>
      </c>
      <c r="I1" s="1">
        <f>SUM(J3:J8982)</f>
        <v>709</v>
      </c>
      <c r="K1" s="1" t="s">
        <v>3</v>
      </c>
      <c r="L1" s="8">
        <f>SUM(N3:N8982)</f>
        <v>6.4220729999999984</v>
      </c>
      <c r="N1" s="8" t="s">
        <v>4</v>
      </c>
      <c r="O1" s="1" t="str">
        <f ca="1">TEXT(TODAY(),"mmm.dd.yyyy")</f>
        <v>Oct.25.2026</v>
      </c>
    </row>
    <row r="2" spans="1:17" s="2" customFormat="1" ht="41.4">
      <c r="A2" s="9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2" t="s">
        <v>10</v>
      </c>
      <c r="G2" s="11" t="s">
        <v>11</v>
      </c>
      <c r="H2" s="9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2" t="s">
        <v>18</v>
      </c>
      <c r="O2" s="2" t="s">
        <v>19</v>
      </c>
      <c r="P2" s="13" t="s">
        <v>20</v>
      </c>
      <c r="Q2" s="10" t="s">
        <v>21</v>
      </c>
    </row>
    <row r="3" spans="1:17" ht="14.4">
      <c r="B3" s="14" t="s">
        <v>23</v>
      </c>
      <c r="E3" s="4" t="s">
        <v>122</v>
      </c>
      <c r="F3" s="15" t="s">
        <v>62</v>
      </c>
      <c r="G3" s="16" t="s">
        <v>63</v>
      </c>
      <c r="I3" s="15">
        <v>8</v>
      </c>
      <c r="J3" s="15">
        <v>13.4</v>
      </c>
      <c r="N3" s="15">
        <v>0.18604799999999999</v>
      </c>
      <c r="Q3" s="15" t="s">
        <v>121</v>
      </c>
    </row>
    <row r="4" spans="1:17" ht="14.4">
      <c r="B4" s="14" t="s">
        <v>24</v>
      </c>
      <c r="E4" s="4" t="s">
        <v>123</v>
      </c>
      <c r="F4" s="15" t="s">
        <v>62</v>
      </c>
      <c r="G4" s="16" t="s">
        <v>63</v>
      </c>
      <c r="I4" s="15">
        <v>8</v>
      </c>
      <c r="J4" s="15">
        <v>13.5</v>
      </c>
      <c r="N4" s="15">
        <v>0.18604799999999999</v>
      </c>
      <c r="Q4" s="15" t="s">
        <v>121</v>
      </c>
    </row>
    <row r="5" spans="1:17" ht="14.4">
      <c r="B5" s="14" t="s">
        <v>25</v>
      </c>
      <c r="E5" s="4" t="s">
        <v>125</v>
      </c>
      <c r="F5" s="15" t="s">
        <v>62</v>
      </c>
      <c r="G5" s="16" t="s">
        <v>63</v>
      </c>
      <c r="I5" s="15">
        <v>8</v>
      </c>
      <c r="J5" s="15">
        <v>13.1</v>
      </c>
      <c r="N5" s="15">
        <v>0.18604799999999999</v>
      </c>
      <c r="Q5" s="15" t="s">
        <v>121</v>
      </c>
    </row>
    <row r="6" spans="1:17" ht="14.4">
      <c r="B6" s="14" t="s">
        <v>26</v>
      </c>
      <c r="E6" s="4" t="s">
        <v>124</v>
      </c>
      <c r="F6" s="15" t="s">
        <v>62</v>
      </c>
      <c r="G6" s="16" t="s">
        <v>63</v>
      </c>
      <c r="I6" s="15">
        <v>8</v>
      </c>
      <c r="J6" s="15">
        <v>13</v>
      </c>
      <c r="N6" s="15">
        <v>0.18604799999999999</v>
      </c>
      <c r="Q6" s="15" t="s">
        <v>121</v>
      </c>
    </row>
    <row r="7" spans="1:17" ht="14.4">
      <c r="B7" s="14" t="s">
        <v>27</v>
      </c>
      <c r="E7" s="4" t="s">
        <v>126</v>
      </c>
      <c r="F7" s="15" t="s">
        <v>64</v>
      </c>
      <c r="G7" s="16" t="s">
        <v>22</v>
      </c>
      <c r="I7" s="15">
        <v>4</v>
      </c>
      <c r="J7" s="15">
        <v>21.7</v>
      </c>
      <c r="N7" s="15">
        <v>0.26499200000000001</v>
      </c>
      <c r="Q7" s="15" t="s">
        <v>121</v>
      </c>
    </row>
    <row r="8" spans="1:17" ht="14.4">
      <c r="B8" s="14" t="s">
        <v>28</v>
      </c>
      <c r="E8" s="4" t="s">
        <v>127</v>
      </c>
      <c r="F8" s="15" t="s">
        <v>64</v>
      </c>
      <c r="G8" s="16" t="s">
        <v>22</v>
      </c>
      <c r="I8" s="15">
        <v>4</v>
      </c>
      <c r="J8" s="15">
        <v>21.5</v>
      </c>
      <c r="N8" s="15">
        <v>0.26499200000000001</v>
      </c>
      <c r="Q8" s="15" t="s">
        <v>121</v>
      </c>
    </row>
    <row r="9" spans="1:17" ht="14.4">
      <c r="B9" s="14" t="s">
        <v>29</v>
      </c>
      <c r="E9" s="4" t="s">
        <v>128</v>
      </c>
      <c r="F9" s="15" t="s">
        <v>64</v>
      </c>
      <c r="G9" s="16" t="s">
        <v>22</v>
      </c>
      <c r="I9" s="15">
        <v>4</v>
      </c>
      <c r="J9" s="15">
        <v>21.7</v>
      </c>
      <c r="N9" s="15">
        <v>0.26499200000000001</v>
      </c>
      <c r="Q9" s="15" t="s">
        <v>121</v>
      </c>
    </row>
    <row r="10" spans="1:17" ht="14.4">
      <c r="B10" s="14" t="s">
        <v>30</v>
      </c>
      <c r="E10" s="4" t="s">
        <v>129</v>
      </c>
      <c r="F10" s="15" t="s">
        <v>64</v>
      </c>
      <c r="G10" s="16" t="s">
        <v>22</v>
      </c>
      <c r="I10" s="15">
        <v>4</v>
      </c>
      <c r="J10" s="15">
        <v>21.7</v>
      </c>
      <c r="N10" s="15">
        <v>0.26499200000000001</v>
      </c>
      <c r="Q10" s="15" t="s">
        <v>121</v>
      </c>
    </row>
    <row r="11" spans="1:17" ht="14.4">
      <c r="B11" s="14" t="s">
        <v>31</v>
      </c>
      <c r="E11" s="4" t="s">
        <v>130</v>
      </c>
      <c r="F11" s="15" t="s">
        <v>64</v>
      </c>
      <c r="G11" s="16" t="s">
        <v>22</v>
      </c>
      <c r="I11" s="15">
        <v>3</v>
      </c>
      <c r="J11" s="15">
        <v>20.399999999999999</v>
      </c>
      <c r="N11" s="15">
        <v>0.24174399999999999</v>
      </c>
      <c r="Q11" s="15" t="s">
        <v>121</v>
      </c>
    </row>
    <row r="12" spans="1:17" ht="14.4">
      <c r="B12" s="15" t="s">
        <v>32</v>
      </c>
      <c r="E12" s="4" t="s">
        <v>131</v>
      </c>
      <c r="F12" s="15" t="s">
        <v>65</v>
      </c>
      <c r="G12" s="17" t="s">
        <v>66</v>
      </c>
      <c r="I12" s="15">
        <v>120</v>
      </c>
      <c r="J12" s="15">
        <v>4.7</v>
      </c>
      <c r="N12" s="15">
        <v>6.6000000000000003E-2</v>
      </c>
      <c r="Q12" s="15" t="s">
        <v>121</v>
      </c>
    </row>
    <row r="13" spans="1:17" ht="14.4">
      <c r="B13" s="15" t="s">
        <v>33</v>
      </c>
      <c r="E13" s="4" t="s">
        <v>132</v>
      </c>
      <c r="F13" s="15" t="s">
        <v>67</v>
      </c>
      <c r="G13" s="17" t="s">
        <v>68</v>
      </c>
      <c r="I13" s="15">
        <v>1</v>
      </c>
      <c r="J13" s="15">
        <v>12.8</v>
      </c>
      <c r="N13" s="15">
        <v>2.3805E-2</v>
      </c>
      <c r="Q13" s="15" t="s">
        <v>121</v>
      </c>
    </row>
    <row r="14" spans="1:17" ht="14.4">
      <c r="B14" s="15" t="s">
        <v>34</v>
      </c>
      <c r="E14" s="4" t="s">
        <v>133</v>
      </c>
      <c r="F14" s="15" t="s">
        <v>69</v>
      </c>
      <c r="G14" s="17" t="s">
        <v>70</v>
      </c>
      <c r="I14" s="15">
        <v>60362</v>
      </c>
      <c r="J14" s="15">
        <v>30.1</v>
      </c>
      <c r="N14" s="15">
        <v>0.20070399999999999</v>
      </c>
      <c r="Q14" s="15" t="s">
        <v>121</v>
      </c>
    </row>
    <row r="15" spans="1:17" ht="14.4">
      <c r="B15" s="15" t="s">
        <v>35</v>
      </c>
      <c r="E15" s="4" t="s">
        <v>134</v>
      </c>
      <c r="F15" s="15" t="s">
        <v>69</v>
      </c>
      <c r="G15" s="17" t="s">
        <v>70</v>
      </c>
      <c r="I15" s="15">
        <v>60362</v>
      </c>
      <c r="J15" s="15">
        <v>30.1</v>
      </c>
      <c r="N15" s="15">
        <v>0.20070399999999999</v>
      </c>
      <c r="Q15" s="15" t="s">
        <v>121</v>
      </c>
    </row>
    <row r="16" spans="1:17" ht="14.4">
      <c r="B16" s="15" t="s">
        <v>36</v>
      </c>
      <c r="E16" s="4" t="s">
        <v>135</v>
      </c>
      <c r="F16" s="15" t="s">
        <v>69</v>
      </c>
      <c r="G16" s="17" t="s">
        <v>70</v>
      </c>
      <c r="I16" s="15">
        <v>60362</v>
      </c>
      <c r="J16" s="15">
        <v>30.1</v>
      </c>
      <c r="N16" s="15">
        <v>0.20070399999999999</v>
      </c>
      <c r="Q16" s="15" t="s">
        <v>121</v>
      </c>
    </row>
    <row r="17" spans="2:17" ht="14.4">
      <c r="B17" s="15" t="s">
        <v>37</v>
      </c>
      <c r="E17" s="4" t="s">
        <v>136</v>
      </c>
      <c r="F17" s="15" t="s">
        <v>69</v>
      </c>
      <c r="G17" s="17" t="s">
        <v>70</v>
      </c>
      <c r="I17" s="15">
        <v>60362</v>
      </c>
      <c r="J17" s="15">
        <v>30.1</v>
      </c>
      <c r="N17" s="15">
        <v>0.20070399999999999</v>
      </c>
      <c r="Q17" s="15" t="s">
        <v>121</v>
      </c>
    </row>
    <row r="18" spans="2:17" ht="14.4">
      <c r="B18" s="15" t="s">
        <v>38</v>
      </c>
      <c r="E18" s="4" t="s">
        <v>137</v>
      </c>
      <c r="F18" s="15" t="s">
        <v>71</v>
      </c>
      <c r="G18" s="17" t="s">
        <v>72</v>
      </c>
      <c r="I18" s="15">
        <v>50</v>
      </c>
      <c r="J18" s="15">
        <v>27.4</v>
      </c>
      <c r="N18" s="15">
        <v>0.219356</v>
      </c>
      <c r="Q18" s="15" t="s">
        <v>121</v>
      </c>
    </row>
    <row r="19" spans="2:17" ht="14.4">
      <c r="B19" s="15" t="s">
        <v>39</v>
      </c>
      <c r="E19" s="4" t="s">
        <v>138</v>
      </c>
      <c r="F19" s="15" t="s">
        <v>73</v>
      </c>
      <c r="G19" s="17" t="s">
        <v>74</v>
      </c>
      <c r="I19" s="15">
        <v>180</v>
      </c>
      <c r="J19" s="15">
        <v>42</v>
      </c>
      <c r="N19" s="15">
        <v>0.25424000000000002</v>
      </c>
      <c r="Q19" s="15" t="s">
        <v>121</v>
      </c>
    </row>
    <row r="20" spans="2:17" ht="14.4">
      <c r="B20" s="15" t="s">
        <v>40</v>
      </c>
      <c r="E20" s="4" t="s">
        <v>139</v>
      </c>
      <c r="F20" s="15" t="s">
        <v>75</v>
      </c>
      <c r="G20" s="15" t="s">
        <v>76</v>
      </c>
      <c r="I20" s="15">
        <v>150</v>
      </c>
      <c r="J20" s="15">
        <v>27</v>
      </c>
      <c r="N20" s="15">
        <v>0.29927999999999999</v>
      </c>
      <c r="Q20" s="15" t="s">
        <v>121</v>
      </c>
    </row>
    <row r="21" spans="2:17" ht="14.4">
      <c r="B21" s="15" t="s">
        <v>41</v>
      </c>
      <c r="E21" s="4" t="s">
        <v>140</v>
      </c>
      <c r="F21" s="15" t="s">
        <v>77</v>
      </c>
      <c r="G21" s="17" t="s">
        <v>78</v>
      </c>
      <c r="I21" s="15">
        <v>577</v>
      </c>
      <c r="J21" s="15">
        <v>18.100000000000001</v>
      </c>
      <c r="N21" s="15">
        <v>9.2598E-2</v>
      </c>
      <c r="Q21" s="15" t="s">
        <v>121</v>
      </c>
    </row>
    <row r="22" spans="2:17" ht="14.4">
      <c r="B22" s="15" t="s">
        <v>42</v>
      </c>
      <c r="E22" s="4" t="s">
        <v>141</v>
      </c>
      <c r="F22" s="15" t="s">
        <v>65</v>
      </c>
      <c r="G22" s="17" t="s">
        <v>66</v>
      </c>
      <c r="I22" s="15">
        <v>300</v>
      </c>
      <c r="J22" s="15">
        <v>5</v>
      </c>
      <c r="N22" s="15">
        <v>3.7949999999999998E-2</v>
      </c>
      <c r="Q22" s="15" t="s">
        <v>121</v>
      </c>
    </row>
    <row r="23" spans="2:17" ht="14.4">
      <c r="B23" s="15" t="s">
        <v>43</v>
      </c>
      <c r="E23" s="4" t="s">
        <v>142</v>
      </c>
      <c r="F23" s="15" t="s">
        <v>79</v>
      </c>
      <c r="G23" s="17" t="s">
        <v>80</v>
      </c>
      <c r="I23" s="15">
        <v>2</v>
      </c>
      <c r="J23" s="15">
        <v>12.9</v>
      </c>
      <c r="N23" s="15">
        <v>0.17807999999999999</v>
      </c>
      <c r="Q23" s="15" t="s">
        <v>121</v>
      </c>
    </row>
    <row r="24" spans="2:17" ht="14.4">
      <c r="B24" s="15" t="s">
        <v>44</v>
      </c>
      <c r="E24" s="4" t="s">
        <v>143</v>
      </c>
      <c r="F24" s="15" t="s">
        <v>81</v>
      </c>
      <c r="G24" s="17" t="s">
        <v>82</v>
      </c>
      <c r="I24" s="15">
        <v>120</v>
      </c>
      <c r="J24" s="15">
        <v>27.8</v>
      </c>
      <c r="N24" s="15">
        <v>7.9979999999999996E-2</v>
      </c>
      <c r="Q24" s="15" t="s">
        <v>121</v>
      </c>
    </row>
    <row r="25" spans="2:17" ht="14.4">
      <c r="B25" s="15" t="s">
        <v>45</v>
      </c>
      <c r="E25" s="4" t="s">
        <v>144</v>
      </c>
      <c r="F25" s="15" t="s">
        <v>83</v>
      </c>
      <c r="G25" s="17" t="s">
        <v>84</v>
      </c>
      <c r="I25" s="15">
        <v>50</v>
      </c>
      <c r="J25" s="15">
        <v>11.8</v>
      </c>
      <c r="N25" s="15">
        <v>5.4945000000000001E-2</v>
      </c>
      <c r="Q25" s="15" t="s">
        <v>121</v>
      </c>
    </row>
    <row r="26" spans="2:17" ht="14.4">
      <c r="B26" s="15" t="s">
        <v>46</v>
      </c>
      <c r="E26" s="4" t="s">
        <v>145</v>
      </c>
      <c r="F26" s="15" t="s">
        <v>85</v>
      </c>
      <c r="G26" s="17" t="s">
        <v>86</v>
      </c>
      <c r="I26" s="15">
        <v>3</v>
      </c>
      <c r="J26" s="15">
        <v>20.3</v>
      </c>
      <c r="N26" s="15">
        <v>0.18163199999999999</v>
      </c>
      <c r="Q26" s="15" t="s">
        <v>121</v>
      </c>
    </row>
    <row r="27" spans="2:17" ht="14.4">
      <c r="B27" s="15" t="s">
        <v>47</v>
      </c>
      <c r="E27" s="4" t="s">
        <v>146</v>
      </c>
      <c r="F27" s="15" t="s">
        <v>87</v>
      </c>
      <c r="G27" s="17" t="s">
        <v>88</v>
      </c>
      <c r="I27" s="15">
        <v>2</v>
      </c>
      <c r="J27" s="15">
        <v>15.8</v>
      </c>
      <c r="N27" s="15">
        <v>0.16767000000000001</v>
      </c>
      <c r="Q27" s="15" t="s">
        <v>121</v>
      </c>
    </row>
    <row r="28" spans="2:17" ht="14.4">
      <c r="B28" s="15" t="s">
        <v>48</v>
      </c>
      <c r="E28" s="4" t="s">
        <v>147</v>
      </c>
      <c r="F28" s="15" t="s">
        <v>89</v>
      </c>
      <c r="G28" s="17" t="s">
        <v>90</v>
      </c>
      <c r="I28" s="15">
        <v>9</v>
      </c>
      <c r="J28" s="15">
        <v>15.6</v>
      </c>
      <c r="N28" s="15">
        <v>0.132132</v>
      </c>
      <c r="Q28" s="15" t="s">
        <v>121</v>
      </c>
    </row>
    <row r="29" spans="2:17" ht="14.4">
      <c r="B29" s="15" t="s">
        <v>49</v>
      </c>
      <c r="E29" s="4" t="s">
        <v>148</v>
      </c>
      <c r="F29" s="15" t="s">
        <v>91</v>
      </c>
      <c r="G29" s="17" t="s">
        <v>92</v>
      </c>
      <c r="I29" s="15">
        <v>2</v>
      </c>
      <c r="J29" s="15">
        <v>11.1</v>
      </c>
      <c r="N29" s="15">
        <v>0.13416</v>
      </c>
      <c r="Q29" s="15" t="s">
        <v>121</v>
      </c>
    </row>
    <row r="30" spans="2:17" ht="14.4">
      <c r="B30" s="15" t="s">
        <v>50</v>
      </c>
      <c r="E30" s="4" t="s">
        <v>149</v>
      </c>
      <c r="F30" s="15" t="s">
        <v>93</v>
      </c>
      <c r="G30" s="17" t="s">
        <v>94</v>
      </c>
      <c r="I30" s="15">
        <v>2</v>
      </c>
      <c r="J30" s="15">
        <v>11.3</v>
      </c>
      <c r="N30" s="15">
        <v>9.7919999999999993E-2</v>
      </c>
      <c r="Q30" s="15" t="s">
        <v>121</v>
      </c>
    </row>
    <row r="31" spans="2:17" ht="14.4">
      <c r="B31" s="15" t="s">
        <v>51</v>
      </c>
      <c r="E31" s="4" t="s">
        <v>150</v>
      </c>
      <c r="F31" s="15" t="s">
        <v>95</v>
      </c>
      <c r="G31" s="17" t="s">
        <v>96</v>
      </c>
      <c r="I31" s="15">
        <v>3</v>
      </c>
      <c r="J31" s="15">
        <v>30.3</v>
      </c>
      <c r="N31" s="15">
        <v>0.47919600000000001</v>
      </c>
      <c r="Q31" s="15" t="s">
        <v>121</v>
      </c>
    </row>
    <row r="32" spans="2:17" ht="14.4">
      <c r="B32" s="15" t="s">
        <v>52</v>
      </c>
      <c r="E32" s="4" t="s">
        <v>151</v>
      </c>
      <c r="F32" s="15" t="s">
        <v>95</v>
      </c>
      <c r="G32" s="17" t="s">
        <v>96</v>
      </c>
      <c r="I32" s="15">
        <v>2</v>
      </c>
      <c r="J32" s="15">
        <v>19.7</v>
      </c>
      <c r="N32" s="15">
        <v>0.31204799999999999</v>
      </c>
      <c r="Q32" s="15" t="s">
        <v>121</v>
      </c>
    </row>
    <row r="33" spans="2:17" ht="14.4">
      <c r="B33" s="15" t="s">
        <v>53</v>
      </c>
      <c r="E33" s="4" t="s">
        <v>152</v>
      </c>
      <c r="F33" s="15" t="s">
        <v>97</v>
      </c>
      <c r="G33" s="17" t="s">
        <v>98</v>
      </c>
      <c r="I33" s="15">
        <v>2</v>
      </c>
      <c r="J33" s="15">
        <v>12.8</v>
      </c>
      <c r="N33" s="15">
        <v>0.221445</v>
      </c>
      <c r="Q33" s="15" t="s">
        <v>121</v>
      </c>
    </row>
    <row r="34" spans="2:17" ht="14.4">
      <c r="B34" s="15" t="s">
        <v>54</v>
      </c>
      <c r="E34" s="4" t="s">
        <v>153</v>
      </c>
      <c r="F34" s="15" t="s">
        <v>99</v>
      </c>
      <c r="G34" s="17" t="s">
        <v>100</v>
      </c>
      <c r="I34" s="15">
        <v>5000</v>
      </c>
      <c r="J34" s="15">
        <v>15</v>
      </c>
      <c r="N34" s="15">
        <v>5.4566999999999997E-2</v>
      </c>
      <c r="Q34" s="15" t="s">
        <v>121</v>
      </c>
    </row>
    <row r="35" spans="2:17" ht="14.4">
      <c r="B35" s="15" t="s">
        <v>55</v>
      </c>
      <c r="E35" s="4" t="s">
        <v>154</v>
      </c>
      <c r="F35" s="15" t="s">
        <v>99</v>
      </c>
      <c r="G35" s="17" t="s">
        <v>100</v>
      </c>
      <c r="I35" s="15">
        <v>5000</v>
      </c>
      <c r="J35" s="15">
        <v>14.1</v>
      </c>
      <c r="N35" s="15">
        <v>5.4566999999999997E-2</v>
      </c>
      <c r="Q35" s="15" t="s">
        <v>121</v>
      </c>
    </row>
    <row r="36" spans="2:17" ht="14.4">
      <c r="B36" s="15" t="s">
        <v>56</v>
      </c>
      <c r="E36" s="4" t="s">
        <v>155</v>
      </c>
      <c r="F36" s="15" t="s">
        <v>99</v>
      </c>
      <c r="G36" s="17" t="s">
        <v>100</v>
      </c>
      <c r="I36" s="15">
        <v>5000</v>
      </c>
      <c r="J36" s="15">
        <v>13.9</v>
      </c>
      <c r="N36" s="15">
        <v>5.4566999999999997E-2</v>
      </c>
      <c r="Q36" s="15" t="s">
        <v>121</v>
      </c>
    </row>
    <row r="37" spans="2:17" ht="14.4">
      <c r="B37" s="15" t="s">
        <v>57</v>
      </c>
      <c r="E37" s="4" t="s">
        <v>156</v>
      </c>
      <c r="F37" s="15" t="s">
        <v>101</v>
      </c>
      <c r="G37" s="17" t="s">
        <v>102</v>
      </c>
      <c r="I37" s="15">
        <v>10</v>
      </c>
      <c r="J37" s="15">
        <v>18</v>
      </c>
      <c r="N37" s="15">
        <v>4.4616000000000003E-2</v>
      </c>
      <c r="Q37" s="15" t="s">
        <v>121</v>
      </c>
    </row>
    <row r="38" spans="2:17" ht="14.4">
      <c r="B38" s="15" t="s">
        <v>58</v>
      </c>
      <c r="E38" s="4" t="s">
        <v>157</v>
      </c>
      <c r="F38" s="15" t="s">
        <v>65</v>
      </c>
      <c r="G38" s="17" t="s">
        <v>66</v>
      </c>
      <c r="I38" s="15">
        <v>320</v>
      </c>
      <c r="J38" s="15">
        <v>7.7</v>
      </c>
      <c r="N38" s="15">
        <v>9.3840000000000007E-2</v>
      </c>
      <c r="Q38" s="15" t="s">
        <v>121</v>
      </c>
    </row>
    <row r="39" spans="2:17" ht="14.4">
      <c r="B39" s="15" t="s">
        <v>59</v>
      </c>
      <c r="E39" s="4" t="s">
        <v>158</v>
      </c>
      <c r="F39" s="15" t="s">
        <v>65</v>
      </c>
      <c r="G39" s="17" t="s">
        <v>66</v>
      </c>
      <c r="I39" s="15">
        <v>202</v>
      </c>
      <c r="J39" s="15">
        <v>5.4</v>
      </c>
      <c r="N39" s="15">
        <v>0.06</v>
      </c>
      <c r="Q39" s="15" t="s">
        <v>121</v>
      </c>
    </row>
    <row r="40" spans="2:17" ht="14.4">
      <c r="B40" s="18" t="s">
        <v>60</v>
      </c>
      <c r="E40" s="4" t="s">
        <v>159</v>
      </c>
      <c r="F40" s="18" t="s">
        <v>103</v>
      </c>
      <c r="G40" s="19" t="s">
        <v>104</v>
      </c>
      <c r="I40" s="18">
        <v>34</v>
      </c>
      <c r="J40" s="15">
        <v>11.9</v>
      </c>
      <c r="N40" s="15">
        <v>6.5664E-2</v>
      </c>
      <c r="Q40" s="15" t="s">
        <v>121</v>
      </c>
    </row>
    <row r="41" spans="2:17" ht="14.4">
      <c r="B41" s="24" t="s">
        <v>61</v>
      </c>
      <c r="E41" s="4" t="s">
        <v>160</v>
      </c>
      <c r="F41" s="20" t="s">
        <v>65</v>
      </c>
      <c r="G41" s="20" t="s">
        <v>66</v>
      </c>
      <c r="I41" s="20">
        <v>50</v>
      </c>
      <c r="J41" s="15">
        <v>1.6</v>
      </c>
      <c r="N41" s="21">
        <v>7.2199999999999999E-3</v>
      </c>
      <c r="Q41" s="15" t="s">
        <v>121</v>
      </c>
    </row>
    <row r="42" spans="2:17" ht="14.4">
      <c r="B42" s="24"/>
      <c r="E42" s="4" t="s">
        <v>161</v>
      </c>
      <c r="F42" s="20" t="s">
        <v>105</v>
      </c>
      <c r="G42" s="22" t="s">
        <v>106</v>
      </c>
      <c r="I42" s="20">
        <v>2</v>
      </c>
      <c r="J42" s="15">
        <v>3.4</v>
      </c>
      <c r="N42" s="21">
        <v>1.3986E-2</v>
      </c>
      <c r="Q42" s="15" t="s">
        <v>121</v>
      </c>
    </row>
    <row r="43" spans="2:17" ht="14.4">
      <c r="B43" s="24"/>
      <c r="E43" s="4" t="s">
        <v>162</v>
      </c>
      <c r="F43" s="20" t="s">
        <v>107</v>
      </c>
      <c r="G43" s="22" t="s">
        <v>108</v>
      </c>
      <c r="I43" s="20">
        <v>1</v>
      </c>
      <c r="J43" s="15">
        <v>0.2</v>
      </c>
      <c r="N43" s="21">
        <v>1.7600000000000001E-3</v>
      </c>
      <c r="Q43" s="15" t="s">
        <v>121</v>
      </c>
    </row>
    <row r="44" spans="2:17" ht="14.4">
      <c r="B44" s="24"/>
      <c r="E44" s="4" t="s">
        <v>163</v>
      </c>
      <c r="F44" s="20" t="s">
        <v>109</v>
      </c>
      <c r="G44" s="22" t="s">
        <v>110</v>
      </c>
      <c r="I44" s="20">
        <v>2</v>
      </c>
      <c r="J44" s="15">
        <v>3.8</v>
      </c>
      <c r="N44" s="21">
        <v>4.3035999999999998E-2</v>
      </c>
      <c r="Q44" s="15" t="s">
        <v>121</v>
      </c>
    </row>
    <row r="45" spans="2:17" ht="14.4">
      <c r="B45" s="24"/>
      <c r="E45" s="4" t="s">
        <v>164</v>
      </c>
      <c r="F45" s="20" t="s">
        <v>111</v>
      </c>
      <c r="G45" s="22" t="s">
        <v>112</v>
      </c>
      <c r="I45" s="20">
        <v>1</v>
      </c>
      <c r="J45" s="15">
        <v>0.4</v>
      </c>
      <c r="N45" s="21">
        <v>3.3600000000000001E-3</v>
      </c>
      <c r="Q45" s="15" t="s">
        <v>121</v>
      </c>
    </row>
    <row r="46" spans="2:17" ht="14.4">
      <c r="B46" s="24"/>
      <c r="E46" s="4" t="s">
        <v>165</v>
      </c>
      <c r="F46" s="20" t="s">
        <v>113</v>
      </c>
      <c r="G46" s="22" t="s">
        <v>114</v>
      </c>
      <c r="I46" s="20">
        <v>1</v>
      </c>
      <c r="J46" s="15">
        <v>0.5</v>
      </c>
      <c r="N46" s="21">
        <v>5.7330000000000002E-3</v>
      </c>
      <c r="Q46" s="15" t="s">
        <v>121</v>
      </c>
    </row>
    <row r="47" spans="2:17" ht="14.4">
      <c r="B47" s="24"/>
      <c r="E47" s="4" t="s">
        <v>166</v>
      </c>
      <c r="F47" s="20" t="s">
        <v>115</v>
      </c>
      <c r="G47" s="22" t="s">
        <v>116</v>
      </c>
      <c r="I47" s="20">
        <v>3</v>
      </c>
      <c r="J47" s="15">
        <v>2.1</v>
      </c>
      <c r="N47" s="21">
        <v>1.55E-2</v>
      </c>
      <c r="Q47" s="15" t="s">
        <v>121</v>
      </c>
    </row>
    <row r="48" spans="2:17" ht="14.4">
      <c r="B48" s="24"/>
      <c r="E48" s="4" t="s">
        <v>167</v>
      </c>
      <c r="F48" s="20" t="s">
        <v>117</v>
      </c>
      <c r="G48" s="22" t="s">
        <v>118</v>
      </c>
      <c r="I48" s="20">
        <v>3</v>
      </c>
      <c r="J48" s="15">
        <v>1.5</v>
      </c>
      <c r="N48" s="21">
        <v>3.0000000000000001E-3</v>
      </c>
      <c r="Q48" s="15" t="s">
        <v>121</v>
      </c>
    </row>
    <row r="49" spans="2:17" ht="14.4">
      <c r="B49" s="24"/>
      <c r="E49" s="4" t="s">
        <v>168</v>
      </c>
      <c r="F49" s="20" t="s">
        <v>65</v>
      </c>
      <c r="G49" s="22" t="s">
        <v>66</v>
      </c>
      <c r="I49" s="20">
        <v>100</v>
      </c>
      <c r="J49" s="15">
        <v>2.2000000000000002</v>
      </c>
      <c r="N49" s="21">
        <v>1.4999999999999999E-2</v>
      </c>
      <c r="Q49" s="15" t="s">
        <v>121</v>
      </c>
    </row>
    <row r="50" spans="2:17" ht="14.4">
      <c r="B50" s="24"/>
      <c r="E50" s="4" t="s">
        <v>169</v>
      </c>
      <c r="F50" s="20" t="s">
        <v>119</v>
      </c>
      <c r="G50" s="22" t="s">
        <v>120</v>
      </c>
      <c r="I50" s="20">
        <v>4</v>
      </c>
      <c r="J50" s="18">
        <v>0.5</v>
      </c>
      <c r="N50" s="23">
        <v>4.4999999999999997E-3</v>
      </c>
      <c r="Q50" s="15" t="s">
        <v>121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1:XFD2" name="Range1"/>
  </protectedRanges>
  <autoFilter ref="A1:Q2" xr:uid="{00000000-0009-0000-0000-000000000000}"/>
  <mergeCells count="1">
    <mergeCell ref="B41:B50"/>
  </mergeCells>
  <phoneticPr fontId="9" type="noConversion"/>
  <printOptions gridLines="1"/>
  <pageMargins left="0.156944444444444" right="0.156944444444444" top="0.47222222222222199" bottom="0.39305555555555599" header="0.23611111111111099" footer="0.196527777777778"/>
  <pageSetup scale="63" fitToHeight="0" orientation="landscape"/>
  <headerFooter>
    <oddHeader>&amp;C&amp;20GZ0439</oddHeader>
    <oddFooter>&amp;C&amp;20&amp;P/&amp;N</oddFooter>
  </headerFooter>
  <ignoredErrors>
    <ignoredError sqref="P1:Q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5"/>
  <pixelatorList sheetStid="6"/>
</pixelators>
</file>

<file path=customXml/item2.xml><?xml version="1.0" encoding="utf-8"?>
<woProps xmlns="https://web.wps.cn/et/2018/main" xmlns:s="http://schemas.openxmlformats.org/spreadsheetml/2006/main">
  <woSheets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69930064555" isFilterShared="0" woEtMtcEnabled="0" coreConquerUserId="1617513370" isAutoUpdatePaused="0" filterType="user" isMergeTasksAutoUpdate="0" isInserPicAsAttachment="0" supportDbFmlaDisp="0"/>
  </woBookProps>
</woProps>
</file>

<file path=customXml/item3.xml><?xml version="1.0" encoding="utf-8"?>
<autofilters xmlns="https://web.wps.cn/et/2018/main">
  <sheetItem sheetStid="5">
    <filterData filterID="1751220862"/>
    <filterData filterID="1750774144"/>
  </sheetItem>
</autofilters>
</file>

<file path=customXml/item4.xml><?xml version="1.0" encoding="utf-8"?>
<allowEditUser xmlns="https://web.wps.cn/et/2018/main" xmlns:s="http://schemas.openxmlformats.org/spreadsheetml/2006/main" hasInvisiblePropRange="0">
  <rangeList sheetStid="5" master="" otherUserPermission="edit">
    <arrUserId title="Range1" rangeCreator="700459128" othersAccessPermission="visible">
      <userID accessPermission="edit">700459128</userID>
    </arrUserId>
  </rangeList>
</allowEditUser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2023-06-30T14:25:00Z</dcterms:created>
  <dcterms:modified xsi:type="dcterms:W3CDTF">2026-10-25T13:47:58Z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FC9E1EB948D74CBB9521FE881FAEB055_13</vt:lpwstr>
  </property>
  <property fmtid="{D5CDD505-2E9C-101B-9397-08002B2CF9AE}" pid="4" name="CalculationRule">
    <vt:i4>0</vt:i4>
  </property>
</Properties>
</file>